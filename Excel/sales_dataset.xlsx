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esh Nandwana\Dropbox\PC (3)\Desktop\"/>
    </mc:Choice>
  </mc:AlternateContent>
  <xr:revisionPtr revIDLastSave="0" documentId="13_ncr:1_{FFCA4E19-FC6F-4599-AD07-B405F226532F}" xr6:coauthVersionLast="47" xr6:coauthVersionMax="47" xr10:uidLastSave="{00000000-0000-0000-0000-000000000000}"/>
  <bookViews>
    <workbookView xWindow="-120" yWindow="-120" windowWidth="29040" windowHeight="15840" activeTab="3" xr2:uid="{A93E891C-19B2-4CD9-951C-226144D61394}"/>
  </bookViews>
  <sheets>
    <sheet name="Sales_dataset" sheetId="1" r:id="rId1"/>
    <sheet name="ANOVA" sheetId="2" r:id="rId2"/>
    <sheet name="Covariance" sheetId="5" r:id="rId3"/>
    <sheet name="Correlatio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B4" i="6"/>
  <c r="C4" i="6"/>
  <c r="D4" i="5"/>
  <c r="C3" i="5"/>
  <c r="B2" i="5"/>
  <c r="G4" i="1"/>
  <c r="G5" i="1"/>
  <c r="G6" i="1"/>
  <c r="G7" i="1"/>
  <c r="G8" i="1"/>
  <c r="G9" i="1"/>
  <c r="G10" i="1"/>
  <c r="G11" i="1"/>
  <c r="G12" i="1"/>
  <c r="G13" i="1"/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<sst xmlns="http://schemas.openxmlformats.org/spreadsheetml/2006/main" count="60" uniqueCount="39">
  <si>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</si>
  <si>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</si>
  <si>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</si>
  <si>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</si>
  <si>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</si>
  <si>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</si>
  <si>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</si>
  <si>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</si>
  <si>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</si>
  <si>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Overall sales</t>
  </si>
  <si>
    <t>3-period average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</si>
  <si>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</si>
  <si>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</si>
  <si>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</si>
  <si>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</si>
  <si>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</si>
  <si>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</si>
  <si>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</si>
  <si>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</si>
  <si>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</si>
  <si>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</si>
  <si>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</si>
  <si>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</si>
  <si>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</si>
  <si>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</si>
  <si>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</si>
  <si>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</si>
  <si>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</si>
  <si>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</si>
  <si>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P-Value &gt; 0.05, fail to reject the null hypothesis.</t>
  </si>
  <si>
    <t>Product A and B: negative covariance
Product A and C: negative covariance
Product B and C: negative covariance</t>
  </si>
  <si>
    <t xml:space="preserve">Product pair </t>
  </si>
  <si>
    <t xml:space="preserve">Correlation </t>
  </si>
  <si>
    <t>Product A-B</t>
  </si>
  <si>
    <t>Product B-C</t>
  </si>
  <si>
    <t>Product A-C</t>
  </si>
  <si>
    <t xml:space="preserve">Product B sales </t>
  </si>
  <si>
    <t xml:space="preserve">Product C Sales 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</si>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</sst>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cat>
            <c:strRef>
              <c:f>Sales_dataset!$H$2:$H$13</c:f>
              <c:strCache>
                <c:ptCount val="12"/>
                <c:pt idx="0">
                  <c:v>2019–India</c:v>
                </c:pt>
                <c:pt idx="1">
                  <c:v>2019–USA</c:v>
                </c:pt>
                <c:pt idx="2">
                  <c:v>2019–Canada</c:v>
                </c:pt>
                <c:pt idx="3">
                  <c:v>2019–UK</c:v>
                </c:pt>
                <c:pt idx="4">
                  <c:v>2020–India</c:v>
                </c:pt>
                <c:pt idx="5">
                  <c:v>2020–USA</c:v>
                </c:pt>
                <c:pt idx="6">
                  <c:v>2020–Canada</c:v>
                </c:pt>
                <c:pt idx="7">
                  <c:v>2020–UK</c:v>
                </c:pt>
                <c:pt idx="8">
                  <c:v>2021–India</c:v>
                </c:pt>
                <c:pt idx="9">
                  <c:v>2021–USA</c:v>
                </c:pt>
                <c:pt idx="10">
                  <c:v>2021–Canada</c:v>
                </c:pt>
                <c:pt idx="11">
                  <c:v>2021–UK</c:v>
                </c:pt>
              </c:strCache>
            </c:strRef>
          </c:cat>
          <c:val>
            <c:numRef>
              <c:f>Sales_dataset!$F$2:$F$13</c:f>
              <c:numCache>
                <c:formatCode>General</c:formatCode>
                <c:ptCount val="12"/>
                <c:pt idx="0">
                  <c:v>16342</c:v>
                </c:pt>
                <c:pt idx="1">
                  <c:v>20244</c:v>
                </c:pt>
                <c:pt idx="2">
                  <c:v>23137</c:v>
                </c:pt>
                <c:pt idx="3">
                  <c:v>15557</c:v>
                </c:pt>
                <c:pt idx="4">
                  <c:v>16698</c:v>
                </c:pt>
                <c:pt idx="5">
                  <c:v>22323</c:v>
                </c:pt>
                <c:pt idx="6">
                  <c:v>22452</c:v>
                </c:pt>
                <c:pt idx="7">
                  <c:v>13413</c:v>
                </c:pt>
                <c:pt idx="8">
                  <c:v>21018</c:v>
                </c:pt>
                <c:pt idx="9">
                  <c:v>20361</c:v>
                </c:pt>
                <c:pt idx="10">
                  <c:v>17246</c:v>
                </c:pt>
                <c:pt idx="11">
                  <c:v>19215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A-4F9F-A097-6907409ABA62}"/>
            </c:ext>
          </c:extLst>
        </c:ser>
        <c:ser>
          <c:idx val="1"/>
          <c:order val="1"/>
          <c:tx>
            <c:v>Forecast</c:v>
          </c:tx>
          <c:cat>
            <c:strRef>
              <c:f>Sales_dataset!$H$2:$H$13</c:f>
              <c:strCache>
                <c:ptCount val="12"/>
                <c:pt idx="0">
                  <c:v>2019–India</c:v>
                </c:pt>
                <c:pt idx="1">
                  <c:v>2019–USA</c:v>
                </c:pt>
                <c:pt idx="2">
                  <c:v>2019–Canada</c:v>
                </c:pt>
                <c:pt idx="3">
                  <c:v>2019–UK</c:v>
                </c:pt>
                <c:pt idx="4">
                  <c:v>2020–India</c:v>
                </c:pt>
                <c:pt idx="5">
                  <c:v>2020–USA</c:v>
                </c:pt>
                <c:pt idx="6">
                  <c:v>2020–Canada</c:v>
                </c:pt>
                <c:pt idx="7">
                  <c:v>2020–UK</c:v>
                </c:pt>
                <c:pt idx="8">
                  <c:v>2021–India</c:v>
                </c:pt>
                <c:pt idx="9">
                  <c:v>2021–USA</c:v>
                </c:pt>
                <c:pt idx="10">
                  <c:v>2021–Canada</c:v>
                </c:pt>
                <c:pt idx="11">
                  <c:v>2021–UK</c:v>
                </c:pt>
              </c:strCache>
            </c:strRef>
          </c:cat>
          <c:val>
            <c:numRef>
              <c:f>Sales_dataset!$G$2:$G$13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19907.666666666668</c:v>
                </c:pt>
                <c:pt idx="3">
                  <c:v>19646</c:v>
                </c:pt>
                <c:pt idx="4">
                  <c:v>18464</c:v>
                </c:pt>
                <c:pt idx="5">
                  <c:v>18192.666666666668</c:v>
                </c:pt>
                <c:pt idx="6">
                  <c:v>20491</c:v>
                </c:pt>
                <c:pt idx="7">
                  <c:v>19396</c:v>
                </c:pt>
                <c:pt idx="8">
                  <c:v>18961</c:v>
                </c:pt>
                <c:pt idx="9">
                  <c:v>18264</c:v>
                </c:pt>
                <c:pt idx="10">
                  <c:v>19541.666666666668</c:v>
                </c:pt>
                <c:pt idx="11">
                  <c:v>18940.666666666668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8A-4F9F-A097-6907409AB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03023"/>
        <c:axId val="335941599"/>
      </c:lineChart>
      <c:catAx>
        <c:axId val="22403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5941599"/>
        <c:crosses val="autoZero"/>
        <c:auto val="1"/>
        <c:lblAlgn val="ctr"/>
        <c:lblOffset val="100"/>
        <c:noMultiLvlLbl val="0"/>
      </c:catAx>
      <c:valAx>
        <c:axId val="335941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030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06673974751452E-2"/>
          <c:y val="0.10319341904276984"/>
          <c:w val="0.72202719142280392"/>
          <c:h val="0.82646822492362526"/>
        </c:manualLayout>
      </c:layout>
      <c:lineChart>
        <c:grouping val="standard"/>
        <c:varyColors val="0"/>
        <c:ser>
          <c:idx val="0"/>
          <c:order val="0"/>
          <c:tx>
            <c:strRef>
              <c:f>Correlation!$G$1</c:f>
              <c:strCache>
                <c:ptCount val="1"/>
                <c:pt idx="0">
                  <c:v>Correlation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Correlation!$F$2:$F$4</c:f>
              <c:strCache>
                <c:ptCount val="3"/>
                <c:pt idx="0">
                  <c:v>Product A-B</c:v>
                </c:pt>
                <c:pt idx="1">
                  <c:v>Product A-C</c:v>
                </c:pt>
                <c:pt idx="2">
                  <c:v>Product B-C</c:v>
                </c:pt>
              </c:strCache>
            </c:strRef>
          </c:cat>
          <c:val>
            <c:numRef>
              <c:f>Correlation!$G$2:$G$4</c:f>
              <c:numCache>
                <c:formatCode>General</c:formatCode>
                <c:ptCount val="3"/>
                <c:pt idx="0">
                  <c:v>-0.15122686166151589</c:v>
                </c:pt>
                <c:pt idx="1">
                  <c:v>-0.105966281489386</c:v>
                </c:pt>
                <c:pt idx="2">
                  <c:v>-1.05287764053183E-2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E-4401-885E-B2B96629B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441231"/>
        <c:axId val="335936799"/>
      </c:lineChart>
      <c:catAx>
        <c:axId val="150344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36799"/>
        <c:crosses val="autoZero"/>
        <c:auto val="1"/>
        <c:lblAlgn val="ctr"/>
        <c:lblOffset val="100"/>
        <c:noMultiLvlLbl val="0"/>
      </c:catAx>
      <c:valAx>
        <c:axId val="33593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4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15</xdr:row>
      <xdr:rowOff>38099</xdr:rowOff>
    </xdr:from>
    <xdr:to>
      <xdr:col>5</xdr:col>
      <xdr:colOff>657225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805E8-40F5-AE3A-E2CA-758C968BA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6</xdr:row>
      <xdr:rowOff>138112</xdr:rowOff>
    </xdr:from>
    <xdr:to>
      <xdr:col>6</xdr:col>
      <xdr:colOff>1000125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0A426-59E1-21E5-3168-89428BD4D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5018-0028-4CF6-90ED-6D7BBCD2297D}">
  <dimension ref="A1:H13"/>
  <sheetViews>
    <sheetView workbookViewId="0">
      <selection activeCell="I24" sqref="I24"/>
    </sheetView>
  </sheetViews>
  <sheetFormatPr defaultRowHeight="15" x14ac:dyDescent="0.25"/>
  <cols>
    <col min="1" max="1" width="17.42578125" customWidth="1"/>
    <col min="2" max="2" width="14.42578125" customWidth="1"/>
    <col min="3" max="3" width="19.85546875" customWidth="1"/>
    <col min="4" max="4" width="19.140625" customWidth="1"/>
    <col min="5" max="5" width="26.85546875" customWidth="1"/>
    <col min="6" max="6" width="21.42578125" customWidth="1"/>
    <col min="7" max="7" width="24.42578125" customWidth="1"/>
    <col min="8" max="8" width="12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38</v>
      </c>
    </row>
    <row r="2" spans="1:8" x14ac:dyDescent="0.25">
      <c r="A2">
        <v>2019</v>
      </c>
      <c r="B2" t="s">
        <v>5</v>
      </c>
      <c r="C2">
        <v>5674</v>
      </c>
      <c r="D2">
        <v>6721</v>
      </c>
      <c r="E2">
        <v>3947</v>
      </c>
      <c r="F2">
        <f>SUM(C2:E2)</f>
        <v>16342</v>
      </c>
      <c r="G2" t="e">
        <v>#N/A</v>
      </c>
      <c r="H2" t="str">
        <f>A2&amp;"–"&amp;B2</f>
        <v>2019–India</v>
      </c>
    </row>
    <row r="3" spans="1:8" x14ac:dyDescent="0.25">
      <c r="A3">
        <v>2019</v>
      </c>
      <c r="B3" t="s">
        <v>6</v>
      </c>
      <c r="C3">
        <v>3598</v>
      </c>
      <c r="D3">
        <v>9374</v>
      </c>
      <c r="E3">
        <v>7272</v>
      </c>
      <c r="F3">
        <f t="shared" ref="F3:F13" si="0">SUM(C3:E3)</f>
        <v>20244</v>
      </c>
      <c r="G3" t="e">
        <v>#N/A</v>
      </c>
      <c r="H3" t="str">
        <f t="shared" ref="H3:H13" si="1">A3&amp;"–"&amp;B3</f>
        <v>2019–USA</v>
      </c>
    </row>
    <row r="4" spans="1:8" x14ac:dyDescent="0.25">
      <c r="A4">
        <v>2019</v>
      </c>
      <c r="B4" t="s">
        <v>7</v>
      </c>
      <c r="C4">
        <v>8765</v>
      </c>
      <c r="D4">
        <v>9272</v>
      </c>
      <c r="E4">
        <v>5100</v>
      </c>
      <c r="F4">
        <f t="shared" si="0"/>
        <v>23137</v>
      </c>
      <c r="G4">
        <f t="shared" ref="G4:G13" si="2">AVERAGE(F2:F4)</f>
        <v>19907.666666666668</v>
      </c>
      <c r="H4" t="str">
        <f t="shared" si="1"/>
        <v>2019–Canada</v>
      </c>
    </row>
    <row r="5" spans="1:8" x14ac:dyDescent="0.25">
      <c r="A5">
        <v>2019</v>
      </c>
      <c r="B5" t="s">
        <v>8</v>
      </c>
      <c r="C5">
        <v>4539</v>
      </c>
      <c r="D5">
        <v>6473</v>
      </c>
      <c r="E5">
        <v>4545</v>
      </c>
      <c r="F5">
        <f t="shared" si="0"/>
        <v>15557</v>
      </c>
      <c r="G5">
        <f t="shared" si="2"/>
        <v>19646</v>
      </c>
      <c r="H5" t="str">
        <f t="shared" si="1"/>
        <v>2019–UK</v>
      </c>
    </row>
    <row r="6" spans="1:8" x14ac:dyDescent="0.25">
      <c r="A6">
        <v>2020</v>
      </c>
      <c r="B6" t="s">
        <v>5</v>
      </c>
      <c r="C6">
        <v>6238</v>
      </c>
      <c r="D6">
        <v>3948</v>
      </c>
      <c r="E6">
        <v>6512</v>
      </c>
      <c r="F6">
        <f t="shared" si="0"/>
        <v>16698</v>
      </c>
      <c r="G6">
        <f t="shared" si="2"/>
        <v>18464</v>
      </c>
      <c r="H6" t="str">
        <f t="shared" si="1"/>
        <v>2020–India</v>
      </c>
    </row>
    <row r="7" spans="1:8" x14ac:dyDescent="0.25">
      <c r="A7">
        <v>2020</v>
      </c>
      <c r="B7" t="s">
        <v>6</v>
      </c>
      <c r="C7">
        <v>8728</v>
      </c>
      <c r="D7">
        <v>7972</v>
      </c>
      <c r="E7">
        <v>5623</v>
      </c>
      <c r="F7">
        <f t="shared" si="0"/>
        <v>22323</v>
      </c>
      <c r="G7">
        <f t="shared" si="2"/>
        <v>18192.666666666668</v>
      </c>
      <c r="H7" t="str">
        <f t="shared" si="1"/>
        <v>2020–USA</v>
      </c>
    </row>
    <row r="8" spans="1:8" x14ac:dyDescent="0.25">
      <c r="A8">
        <v>2020</v>
      </c>
      <c r="B8" t="s">
        <v>7</v>
      </c>
      <c r="C8">
        <v>4589</v>
      </c>
      <c r="D8">
        <v>9224</v>
      </c>
      <c r="E8">
        <v>8639</v>
      </c>
      <c r="F8">
        <f t="shared" si="0"/>
        <v>22452</v>
      </c>
      <c r="G8">
        <f t="shared" si="2"/>
        <v>20491</v>
      </c>
      <c r="H8" t="str">
        <f t="shared" si="1"/>
        <v>2020–Canada</v>
      </c>
    </row>
    <row r="9" spans="1:8" x14ac:dyDescent="0.25">
      <c r="A9">
        <v>2020</v>
      </c>
      <c r="B9" t="s">
        <v>8</v>
      </c>
      <c r="C9">
        <v>6098</v>
      </c>
      <c r="D9">
        <v>2315</v>
      </c>
      <c r="E9">
        <v>5000</v>
      </c>
      <c r="F9">
        <f t="shared" si="0"/>
        <v>13413</v>
      </c>
      <c r="G9">
        <f t="shared" si="2"/>
        <v>19396</v>
      </c>
      <c r="H9" t="str">
        <f t="shared" si="1"/>
        <v>2020–UK</v>
      </c>
    </row>
    <row r="10" spans="1:8" x14ac:dyDescent="0.25">
      <c r="A10">
        <v>2021</v>
      </c>
      <c r="B10" t="s">
        <v>5</v>
      </c>
      <c r="C10">
        <v>7312</v>
      </c>
      <c r="D10">
        <v>8665</v>
      </c>
      <c r="E10">
        <v>5041</v>
      </c>
      <c r="F10">
        <f t="shared" si="0"/>
        <v>21018</v>
      </c>
      <c r="G10">
        <f t="shared" si="2"/>
        <v>18961</v>
      </c>
      <c r="H10" t="str">
        <f t="shared" si="1"/>
        <v>2021–India</v>
      </c>
    </row>
    <row r="11" spans="1:8" x14ac:dyDescent="0.25">
      <c r="A11">
        <v>2021</v>
      </c>
      <c r="B11" t="s">
        <v>6</v>
      </c>
      <c r="C11">
        <v>8361</v>
      </c>
      <c r="D11">
        <v>4629</v>
      </c>
      <c r="E11">
        <v>7371</v>
      </c>
      <c r="F11">
        <f t="shared" si="0"/>
        <v>20361</v>
      </c>
      <c r="G11">
        <f t="shared" si="2"/>
        <v>18264</v>
      </c>
      <c r="H11" t="str">
        <f t="shared" si="1"/>
        <v>2021–USA</v>
      </c>
    </row>
    <row r="12" spans="1:8" x14ac:dyDescent="0.25">
      <c r="A12">
        <v>2021</v>
      </c>
      <c r="B12" t="s">
        <v>7</v>
      </c>
      <c r="C12">
        <v>5343</v>
      </c>
      <c r="D12">
        <v>5126</v>
      </c>
      <c r="E12">
        <v>6777</v>
      </c>
      <c r="F12">
        <f t="shared" si="0"/>
        <v>17246</v>
      </c>
      <c r="G12">
        <f t="shared" si="2"/>
        <v>19541.666666666668</v>
      </c>
      <c r="H12" t="str">
        <f t="shared" si="1"/>
        <v>2021–Canada</v>
      </c>
    </row>
    <row r="13" spans="1:8" x14ac:dyDescent="0.25">
      <c r="A13">
        <v>2021</v>
      </c>
      <c r="B13" t="s">
        <v>8</v>
      </c>
      <c r="C13">
        <v>8265</v>
      </c>
      <c r="D13">
        <v>3341</v>
      </c>
      <c r="E13">
        <v>7609</v>
      </c>
      <c r="F13">
        <f t="shared" si="0"/>
        <v>19215</v>
      </c>
      <c r="G13">
        <f t="shared" si="2"/>
        <v>18940.666666666668</v>
      </c>
      <c r="H13" t="str">
        <f t="shared" si="1"/>
        <v>2021–UK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923E-8401-4939-87E4-83758682349C}">
  <dimension ref="A1:G18"/>
  <sheetViews>
    <sheetView workbookViewId="0">
      <selection activeCell="O17" sqref="O17"/>
    </sheetView>
  </sheetViews>
  <sheetFormatPr defaultRowHeight="15" x14ac:dyDescent="0.25"/>
  <cols>
    <col min="1" max="1" width="21.7109375" customWidth="1"/>
    <col min="2" max="2" width="23" customWidth="1"/>
    <col min="3" max="3" width="14.85546875" customWidth="1"/>
    <col min="4" max="4" width="31.5703125" customWidth="1"/>
  </cols>
  <sheetData>
    <row r="1" spans="1:7" x14ac:dyDescent="0.25">
      <c r="A1" t="s">
        <v>11</v>
      </c>
    </row>
    <row r="3" spans="1:7" ht="15.75" thickBot="1" x14ac:dyDescent="0.3">
      <c r="A3" t="s">
        <v>12</v>
      </c>
    </row>
    <row r="4" spans="1:7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7" x14ac:dyDescent="0.25">
      <c r="A5" t="s">
        <v>2</v>
      </c>
      <c r="B5">
        <v>12</v>
      </c>
      <c r="C5">
        <v>77510</v>
      </c>
      <c r="D5">
        <v>6459.166666666667</v>
      </c>
      <c r="E5">
        <v>3225664.515151517</v>
      </c>
    </row>
    <row r="6" spans="1:7" x14ac:dyDescent="0.25">
      <c r="A6" t="s">
        <v>36</v>
      </c>
      <c r="B6">
        <v>12</v>
      </c>
      <c r="C6">
        <v>77060</v>
      </c>
      <c r="D6">
        <v>6421.666666666667</v>
      </c>
      <c r="E6">
        <v>6326246.2424242441</v>
      </c>
    </row>
    <row r="7" spans="1:7" ht="15.75" thickBot="1" x14ac:dyDescent="0.3">
      <c r="A7" s="1" t="s">
        <v>37</v>
      </c>
      <c r="B7" s="1">
        <v>12</v>
      </c>
      <c r="C7" s="1">
        <v>73436</v>
      </c>
      <c r="D7" s="1">
        <v>6119.666666666667</v>
      </c>
      <c r="E7" s="1">
        <v>2086227.515151517</v>
      </c>
    </row>
    <row r="10" spans="1:7" ht="15.75" thickBot="1" x14ac:dyDescent="0.3">
      <c r="A10" t="s">
        <v>18</v>
      </c>
    </row>
    <row r="11" spans="1:7" x14ac:dyDescent="0.25">
      <c r="A11" s="2" t="s">
        <v>19</v>
      </c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</row>
    <row r="12" spans="1:7" x14ac:dyDescent="0.25">
      <c r="A12" t="s">
        <v>26</v>
      </c>
      <c r="B12">
        <v>831481.9999999851</v>
      </c>
      <c r="C12">
        <v>2</v>
      </c>
      <c r="D12">
        <v>415740.99999999255</v>
      </c>
      <c r="E12">
        <v>0.10716688277563351</v>
      </c>
      <c r="F12">
        <v>0.89868709868225538</v>
      </c>
      <c r="G12">
        <v>3.2849176510382869</v>
      </c>
    </row>
    <row r="13" spans="1:7" x14ac:dyDescent="0.25">
      <c r="A13" t="s">
        <v>27</v>
      </c>
      <c r="B13">
        <v>128019521.00000001</v>
      </c>
      <c r="C13">
        <v>33</v>
      </c>
      <c r="D13">
        <v>3879379.4242424248</v>
      </c>
    </row>
    <row r="15" spans="1:7" ht="15.75" thickBot="1" x14ac:dyDescent="0.3">
      <c r="A15" s="1" t="s">
        <v>28</v>
      </c>
      <c r="B15" s="1">
        <v>128851003</v>
      </c>
      <c r="C15" s="1">
        <v>35</v>
      </c>
      <c r="D15" s="1"/>
      <c r="E15" s="1"/>
      <c r="F15" s="1"/>
      <c r="G15" s="1"/>
    </row>
    <row r="18" spans="2:4" ht="24" x14ac:dyDescent="0.4">
      <c r="B18" s="4" t="s">
        <v>29</v>
      </c>
      <c r="C18" s="5"/>
      <c r="D18" s="5"/>
    </row>
  </sheetData>
  <mergeCells count="1">
    <mergeCell ref="B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7E00-F8FC-4095-80B6-1C4BFB16BCE6}">
  <dimension ref="A1:D9"/>
  <sheetViews>
    <sheetView workbookViewId="0">
      <selection activeCell="C14" sqref="C14"/>
    </sheetView>
  </sheetViews>
  <sheetFormatPr defaultRowHeight="15" x14ac:dyDescent="0.25"/>
  <cols>
    <col min="1" max="1" width="16.28515625" customWidth="1"/>
    <col min="2" max="2" width="21.85546875" customWidth="1"/>
    <col min="3" max="3" width="17" customWidth="1"/>
    <col min="4" max="4" width="26.28515625" customWidth="1"/>
  </cols>
  <sheetData>
    <row r="1" spans="1:4" x14ac:dyDescent="0.25">
      <c r="A1" s="2"/>
      <c r="B1" s="2" t="s">
        <v>2</v>
      </c>
      <c r="C1" s="2" t="s">
        <v>3</v>
      </c>
      <c r="D1" s="2" t="s">
        <v>4</v>
      </c>
    </row>
    <row r="2" spans="1:4" x14ac:dyDescent="0.25">
      <c r="A2" t="s">
        <v>2</v>
      </c>
      <c r="B2">
        <f>VARP(Sales_dataset!$C$2:$C$13)</f>
        <v>2956859.138888889</v>
      </c>
    </row>
    <row r="3" spans="1:4" x14ac:dyDescent="0.25">
      <c r="A3" t="s">
        <v>3</v>
      </c>
      <c r="B3">
        <v>-626214.36111111112</v>
      </c>
      <c r="C3">
        <f>VARP(Sales_dataset!$D$2:$D$13)</f>
        <v>5799059.055555556</v>
      </c>
    </row>
    <row r="4" spans="1:4" ht="15.75" thickBot="1" x14ac:dyDescent="0.3">
      <c r="A4" s="1" t="s">
        <v>4</v>
      </c>
      <c r="B4" s="1">
        <v>-251982.02777777772</v>
      </c>
      <c r="C4" s="1">
        <v>-35062.527777777788</v>
      </c>
      <c r="D4" s="1">
        <f>VARP(Sales_dataset!$E$2:$E$13)</f>
        <v>1912375.2222222222</v>
      </c>
    </row>
    <row r="7" spans="1:4" x14ac:dyDescent="0.25">
      <c r="B7" s="6" t="s">
        <v>30</v>
      </c>
      <c r="C7" s="5"/>
    </row>
    <row r="8" spans="1:4" x14ac:dyDescent="0.25">
      <c r="B8" s="5"/>
      <c r="C8" s="5"/>
    </row>
    <row r="9" spans="1:4" x14ac:dyDescent="0.25">
      <c r="B9" s="5"/>
      <c r="C9" s="5"/>
    </row>
  </sheetData>
  <mergeCells count="1">
    <mergeCell ref="B7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9937-7A0B-4ED6-A6B4-F7E568410842}">
  <dimension ref="A1:G4"/>
  <sheetViews>
    <sheetView tabSelected="1" workbookViewId="0">
      <selection activeCell="I16" sqref="I16"/>
    </sheetView>
  </sheetViews>
  <sheetFormatPr defaultRowHeight="15" x14ac:dyDescent="0.25"/>
  <cols>
    <col min="1" max="1" width="15" customWidth="1"/>
    <col min="2" max="2" width="18.140625" customWidth="1"/>
    <col min="3" max="3" width="31.5703125" customWidth="1"/>
    <col min="4" max="4" width="28" customWidth="1"/>
    <col min="6" max="6" width="18.7109375" customWidth="1"/>
    <col min="7" max="7" width="21.42578125" customWidth="1"/>
  </cols>
  <sheetData>
    <row r="1" spans="1:7" x14ac:dyDescent="0.25">
      <c r="A1" s="2"/>
      <c r="B1" s="2" t="s">
        <v>2</v>
      </c>
      <c r="C1" s="2" t="s">
        <v>3</v>
      </c>
      <c r="D1" s="2" t="s">
        <v>4</v>
      </c>
      <c r="F1" s="3" t="s">
        <v>31</v>
      </c>
      <c r="G1" s="3" t="s">
        <v>32</v>
      </c>
    </row>
    <row r="2" spans="1:7" x14ac:dyDescent="0.25">
      <c r="A2" t="s">
        <v>2</v>
      </c>
      <c r="B2">
        <v>1</v>
      </c>
      <c r="F2" t="s">
        <v>33</v>
      </c>
      <c r="G2">
        <v>-0.15122686166151589</v>
      </c>
    </row>
    <row r="3" spans="1:7" ht="15.75" thickBot="1" x14ac:dyDescent="0.3">
      <c r="A3" t="s">
        <v>3</v>
      </c>
      <c r="B3">
        <v>-0.15122686166151589</v>
      </c>
      <c r="C3">
        <v>1</v>
      </c>
      <c r="F3" t="s">
        <v>35</v>
      </c>
      <c r="G3" s="1">
        <v>-0.105966281489386</v>
      </c>
    </row>
    <row r="4" spans="1:7" ht="15.75" thickBot="1" x14ac:dyDescent="0.3">
      <c r="A4" s="1" t="s">
        <v>4</v>
      </c>
      <c r="B4" s="1">
        <f>CORREL(Sales_dataset!C2:C13,Sales_dataset!E2:E13)</f>
        <v>-0.10596628148938629</v>
      </c>
      <c r="C4" s="1">
        <f>G4</f>
        <v>-1.05287764053183E-2</v>
      </c>
      <c r="D4" s="1">
        <v>1</v>
      </c>
      <c r="F4" t="s">
        <v>34</v>
      </c>
      <c r="G4" s="1">
        <v>-1.05287764053183E-2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Sales_dataset</vt:lpstr>
      <vt:lpstr>ANOVA</vt:lpstr>
      <vt:lpstr>Covariance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Nandwana</dc:creator>
  <cp:lastModifiedBy>Nandwana, Nitesh</cp:lastModifiedBy>
  <dcterms:created xsi:type="dcterms:W3CDTF">2026-09-05T02:06:57Z</dcterms:created>
  <dcterms:modified xsi:type="dcterms:W3CDTF">2026-09-05T21:00:58Z</dcterms:modified>
</cp:coreProperties>
</file>